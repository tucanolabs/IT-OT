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rosswalk" sheetId="2" state="visible" r:id="rId2"/>
    <sheet xmlns:r="http://schemas.openxmlformats.org/officeDocument/2006/relationships" name="Mandates" sheetId="3" state="visible" r:id="rId3"/>
    <sheet xmlns:r="http://schemas.openxmlformats.org/officeDocument/2006/relationships" name="Summary" sheetId="4" state="visible" r:id="rId4"/>
  </sheets>
  <definedNames>
    <definedName name="_xlnm._FilterDatabase" localSheetId="1" hidden="1">'Crosswalk'!$A$4:$L$34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2A33"/>
      <sz val="16"/>
    </font>
    <font>
      <name val="Calibri"/>
      <i val="1"/>
      <color rgb="004A5A68"/>
      <sz val="11"/>
    </font>
    <font>
      <name val="Calibri"/>
      <b val="1"/>
      <color rgb="00FFFFFF"/>
      <sz val="11"/>
    </font>
    <font>
      <name val="Calibri"/>
      <b val="1"/>
      <color rgb="001F2A33"/>
    </font>
  </fonts>
  <fills count="4">
    <fill>
      <patternFill/>
    </fill>
    <fill>
      <patternFill patternType="gray125"/>
    </fill>
    <fill>
      <patternFill patternType="solid">
        <fgColor rgb="002D6A8C"/>
      </patternFill>
    </fill>
    <fill>
      <patternFill patternType="solid">
        <fgColor rgb="00FFF4E8"/>
      </patternFill>
    </fill>
  </fills>
  <borders count="2">
    <border>
      <left/>
      <right/>
      <top/>
      <bottom/>
      <diagonal/>
    </border>
    <border>
      <left style="thin">
        <color rgb="00C9D3DB"/>
      </left>
      <right style="thin">
        <color rgb="00C9D3DB"/>
      </right>
      <top style="thin">
        <color rgb="00C9D3DB"/>
      </top>
      <bottom style="thin">
        <color rgb="00C9D3DB"/>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0" borderId="0" pivotButton="0" quotePrefix="0" xfId="0"/>
    <xf numFmtId="9" fontId="0" fillId="0" borderId="0" pivotButton="0" quotePrefix="0" xfId="0"/>
    <xf numFmtId="9" fontId="4" fillId="0" borderId="0" pivotButton="0" quotePrefix="0" xfId="0"/>
  </cellXfs>
  <cellStyles count="1">
    <cellStyle name="Normal" xfId="0" builtinId="0" hidden="0"/>
  </cellStyles>
  <dxfs count="3">
    <dxf>
      <fill>
        <patternFill patternType="solid">
          <fgColor rgb="00F6DADA"/>
        </patternFill>
      </fill>
    </dxf>
    <dxf>
      <fill>
        <patternFill patternType="solid">
          <fgColor rgb="00FCE9CF"/>
        </patternFill>
      </fill>
    </dxf>
    <dxf>
      <fill>
        <patternFill patternType="solid">
          <fgColor rgb="00D8ED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Control crosswalk: map once, comply many</t>
        </is>
      </c>
    </row>
    <row r="2">
      <c r="A2" s="2" t="inlineStr">
        <is>
          <t>Part of the IT/OT Monday Kit  |  free to use and adapt</t>
        </is>
      </c>
    </row>
    <row r="4">
      <c r="A4" s="3" t="inlineStr">
        <is>
          <t>Most mandates ask for the same things. This workbook lets you meet each ask once and show it to every regulator, auditor, insurer or customer.</t>
        </is>
      </c>
    </row>
    <row r="5">
      <c r="A5" s="3" t="inlineStr">
        <is>
          <t>1. Mandates sheet: list every regulation, framework, insurer or customer requirement you face, and pick its category.</t>
        </is>
      </c>
    </row>
    <row r="6">
      <c r="A6" s="3" t="inlineStr">
        <is>
          <t>2. Crosswalk sheet: for each control, set an owner and status, and note where your evidence lives.</t>
        </is>
      </c>
    </row>
    <row r="7">
      <c r="A7" s="3" t="inlineStr">
        <is>
          <t>3. In the five category columns, write the clause or requirement reference each mandate uses for that control (or just an X). The 'Mandates covered' column counts how many categories ask for the control.</t>
        </is>
      </c>
    </row>
    <row r="8">
      <c r="A8" s="3" t="inlineStr">
        <is>
          <t>4. Summary sheet: shows status by control family. Controls asked for by many mandates and still 'Not started' are your best first investments.</t>
        </is>
      </c>
    </row>
    <row r="9">
      <c r="A9" s="3" t="inlineStr">
        <is>
          <t>5. When a new mandate arrives, add its references to the existing rows. Only add a new row if it asks for something genuinely new.</t>
        </is>
      </c>
    </row>
    <row r="10">
      <c r="A10" s="3" t="inlineStr">
        <is>
          <t>The 30 starter controls are generic and deliberately short. Rename, split or add controls to fit your plants.</t>
        </is>
      </c>
    </row>
    <row r="12">
      <c r="A12" s="2" t="inlineStr">
        <is>
          <t>Shaded cells are for you to fill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60" customWidth="1" min="3" max="3"/>
    <col width="11" customWidth="1" min="4" max="4"/>
    <col width="14" customWidth="1" min="5" max="5"/>
    <col width="30" customWidth="1" min="6" max="6"/>
    <col width="18" customWidth="1" min="7" max="7"/>
    <col width="18" customWidth="1" min="8" max="8"/>
    <col width="18" customWidth="1" min="9" max="9"/>
    <col width="18" customWidth="1" min="10" max="10"/>
    <col width="18" customWidth="1" min="11" max="11"/>
    <col width="12" customWidth="1" min="12" max="12"/>
  </cols>
  <sheetData>
    <row r="1">
      <c r="A1" s="1" t="inlineStr">
        <is>
          <t>Crosswalk</t>
        </is>
      </c>
    </row>
    <row r="2">
      <c r="A2" s="2" t="inlineStr">
        <is>
          <t>One row per control. Category columns hold the clause reference each mandate uses.</t>
        </is>
      </c>
    </row>
    <row r="4" ht="45" customHeight="1">
      <c r="A4" s="4" t="inlineStr">
        <is>
          <t>Control family</t>
        </is>
      </c>
      <c r="B4" s="4" t="inlineStr">
        <is>
          <t>ID</t>
        </is>
      </c>
      <c r="C4" s="4" t="inlineStr">
        <is>
          <t>Control (what good looks like)</t>
        </is>
      </c>
      <c r="D4" s="4" t="inlineStr">
        <is>
          <t>Owner</t>
        </is>
      </c>
      <c r="E4" s="4" t="inlineStr">
        <is>
          <t>Status</t>
        </is>
      </c>
      <c r="F4" s="4" t="inlineStr">
        <is>
          <t>Evidence (where it lives)</t>
        </is>
      </c>
      <c r="G4" s="4" t="inlineStr">
        <is>
          <t>Environmental and process safety</t>
        </is>
      </c>
      <c r="H4" s="4" t="inlineStr">
        <is>
          <t>National cyber directives and sector rules</t>
        </is>
      </c>
      <c r="I4" s="4" t="inlineStr">
        <is>
          <t>Cross-border cyber resilience laws</t>
        </is>
      </c>
      <c r="J4" s="4" t="inlineStr">
        <is>
          <t>Industry frameworks and standards</t>
        </is>
      </c>
      <c r="K4" s="4" t="inlineStr">
        <is>
          <t>Insurer and customer requirements</t>
        </is>
      </c>
      <c r="L4" s="4" t="inlineStr">
        <is>
          <t>Mandates covered</t>
        </is>
      </c>
    </row>
    <row r="5">
      <c r="A5" s="5" t="inlineStr">
        <is>
          <t>Asset inventory</t>
        </is>
      </c>
      <c r="B5" s="6" t="inlineStr">
        <is>
          <t>AI-1</t>
        </is>
      </c>
      <c r="C5" s="6" t="inlineStr">
        <is>
          <t>Keep a list of OT assets (controllers, HMIs, servers, network devices) with location and owner.</t>
        </is>
      </c>
      <c r="D5" s="7" t="n"/>
      <c r="E5" s="7" t="inlineStr">
        <is>
          <t>Not started</t>
        </is>
      </c>
      <c r="F5" s="7" t="n"/>
      <c r="G5" s="7" t="n"/>
      <c r="H5" s="7" t="n"/>
      <c r="I5" s="7" t="n"/>
      <c r="J5" s="7" t="n"/>
      <c r="K5" s="7" t="n"/>
      <c r="L5" s="6">
        <f>COUNTA(G5:K5)</f>
        <v/>
      </c>
    </row>
    <row r="6">
      <c r="A6" s="5" t="inlineStr">
        <is>
          <t>Asset inventory</t>
        </is>
      </c>
      <c r="B6" s="6" t="inlineStr">
        <is>
          <t>AI-2</t>
        </is>
      </c>
      <c r="C6" s="6" t="inlineStr">
        <is>
          <t>Record firmware and software versions and whether each is still supported.</t>
        </is>
      </c>
      <c r="D6" s="7" t="n"/>
      <c r="E6" s="7" t="inlineStr">
        <is>
          <t>Not started</t>
        </is>
      </c>
      <c r="F6" s="7" t="n"/>
      <c r="G6" s="7" t="n"/>
      <c r="H6" s="7" t="n"/>
      <c r="I6" s="7" t="n"/>
      <c r="J6" s="7" t="n"/>
      <c r="K6" s="7" t="n"/>
      <c r="L6" s="6">
        <f>COUNTA(G6:K6)</f>
        <v/>
      </c>
    </row>
    <row r="7">
      <c r="A7" s="5" t="inlineStr">
        <is>
          <t>Asset inventory</t>
        </is>
      </c>
      <c r="B7" s="6" t="inlineStr">
        <is>
          <t>AI-3</t>
        </is>
      </c>
      <c r="C7" s="6" t="inlineStr">
        <is>
          <t>Flag safety-critical and environmentally critical assets.</t>
        </is>
      </c>
      <c r="D7" s="7" t="n"/>
      <c r="E7" s="7" t="inlineStr">
        <is>
          <t>Not started</t>
        </is>
      </c>
      <c r="F7" s="7" t="n"/>
      <c r="G7" s="7" t="n"/>
      <c r="H7" s="7" t="n"/>
      <c r="I7" s="7" t="n"/>
      <c r="J7" s="7" t="n"/>
      <c r="K7" s="7" t="n"/>
      <c r="L7" s="6">
        <f>COUNTA(G7:K7)</f>
        <v/>
      </c>
    </row>
    <row r="8">
      <c r="A8" s="5" t="inlineStr">
        <is>
          <t>Asset inventory</t>
        </is>
      </c>
      <c r="B8" s="6" t="inlineStr">
        <is>
          <t>AI-4</t>
        </is>
      </c>
      <c r="C8" s="6" t="inlineStr">
        <is>
          <t>Review the inventory at least once a year and after major changes.</t>
        </is>
      </c>
      <c r="D8" s="7" t="n"/>
      <c r="E8" s="7" t="inlineStr">
        <is>
          <t>Not started</t>
        </is>
      </c>
      <c r="F8" s="7" t="n"/>
      <c r="G8" s="7" t="n"/>
      <c r="H8" s="7" t="n"/>
      <c r="I8" s="7" t="n"/>
      <c r="J8" s="7" t="n"/>
      <c r="K8" s="7" t="n"/>
      <c r="L8" s="6">
        <f>COUNTA(G8:K8)</f>
        <v/>
      </c>
    </row>
    <row r="9">
      <c r="A9" s="5" t="inlineStr">
        <is>
          <t>Segmentation</t>
        </is>
      </c>
      <c r="B9" s="6" t="inlineStr">
        <is>
          <t>SG-1</t>
        </is>
      </c>
      <c r="C9" s="6" t="inlineStr">
        <is>
          <t>Separate OT networks from business IT with a controlled boundary.</t>
        </is>
      </c>
      <c r="D9" s="7" t="n"/>
      <c r="E9" s="7" t="inlineStr">
        <is>
          <t>Not started</t>
        </is>
      </c>
      <c r="F9" s="7" t="n"/>
      <c r="G9" s="7" t="n"/>
      <c r="H9" s="7" t="n"/>
      <c r="I9" s="7" t="n"/>
      <c r="J9" s="7" t="n"/>
      <c r="K9" s="7" t="n"/>
      <c r="L9" s="6">
        <f>COUNTA(G9:K9)</f>
        <v/>
      </c>
    </row>
    <row r="10">
      <c r="A10" s="5" t="inlineStr">
        <is>
          <t>Segmentation</t>
        </is>
      </c>
      <c r="B10" s="6" t="inlineStr">
        <is>
          <t>SG-2</t>
        </is>
      </c>
      <c r="C10" s="6" t="inlineStr">
        <is>
          <t>Document every connection between IT, OT, cloud and vendors.</t>
        </is>
      </c>
      <c r="D10" s="7" t="n"/>
      <c r="E10" s="7" t="inlineStr">
        <is>
          <t>Not started</t>
        </is>
      </c>
      <c r="F10" s="7" t="n"/>
      <c r="G10" s="7" t="n"/>
      <c r="H10" s="7" t="n"/>
      <c r="I10" s="7" t="n"/>
      <c r="J10" s="7" t="n"/>
      <c r="K10" s="7" t="n"/>
      <c r="L10" s="6">
        <f>COUNTA(G10:K10)</f>
        <v/>
      </c>
    </row>
    <row r="11">
      <c r="A11" s="5" t="inlineStr">
        <is>
          <t>Segmentation</t>
        </is>
      </c>
      <c r="B11" s="6" t="inlineStr">
        <is>
          <t>SG-3</t>
        </is>
      </c>
      <c r="C11" s="6" t="inlineStr">
        <is>
          <t>Allow only the traffic each zone actually needs.</t>
        </is>
      </c>
      <c r="D11" s="7" t="n"/>
      <c r="E11" s="7" t="inlineStr">
        <is>
          <t>Not started</t>
        </is>
      </c>
      <c r="F11" s="7" t="n"/>
      <c r="G11" s="7" t="n"/>
      <c r="H11" s="7" t="n"/>
      <c r="I11" s="7" t="n"/>
      <c r="J11" s="7" t="n"/>
      <c r="K11" s="7" t="n"/>
      <c r="L11" s="6">
        <f>COUNTA(G11:K11)</f>
        <v/>
      </c>
    </row>
    <row r="12">
      <c r="A12" s="5" t="inlineStr">
        <is>
          <t>Access and remote access</t>
        </is>
      </c>
      <c r="B12" s="6" t="inlineStr">
        <is>
          <t>AC-1</t>
        </is>
      </c>
      <c r="C12" s="6" t="inlineStr">
        <is>
          <t>List every remote access path into OT (vendor tools, VPNs, modems, cellular).</t>
        </is>
      </c>
      <c r="D12" s="7" t="n"/>
      <c r="E12" s="7" t="inlineStr">
        <is>
          <t>Not started</t>
        </is>
      </c>
      <c r="F12" s="7" t="n"/>
      <c r="G12" s="7" t="n"/>
      <c r="H12" s="7" t="n"/>
      <c r="I12" s="7" t="n"/>
      <c r="J12" s="7" t="n"/>
      <c r="K12" s="7" t="n"/>
      <c r="L12" s="6">
        <f>COUNTA(G12:K12)</f>
        <v/>
      </c>
    </row>
    <row r="13">
      <c r="A13" s="5" t="inlineStr">
        <is>
          <t>Access and remote access</t>
        </is>
      </c>
      <c r="B13" s="6" t="inlineStr">
        <is>
          <t>AC-2</t>
        </is>
      </c>
      <c r="C13" s="6" t="inlineStr">
        <is>
          <t>Use individual accounts and multi-factor authentication for remote access.</t>
        </is>
      </c>
      <c r="D13" s="7" t="n"/>
      <c r="E13" s="7" t="inlineStr">
        <is>
          <t>Not started</t>
        </is>
      </c>
      <c r="F13" s="7" t="n"/>
      <c r="G13" s="7" t="n"/>
      <c r="H13" s="7" t="n"/>
      <c r="I13" s="7" t="n"/>
      <c r="J13" s="7" t="n"/>
      <c r="K13" s="7" t="n"/>
      <c r="L13" s="6">
        <f>COUNTA(G13:K13)</f>
        <v/>
      </c>
    </row>
    <row r="14">
      <c r="A14" s="5" t="inlineStr">
        <is>
          <t>Access and remote access</t>
        </is>
      </c>
      <c r="B14" s="6" t="inlineStr">
        <is>
          <t>AC-3</t>
        </is>
      </c>
      <c r="C14" s="6" t="inlineStr">
        <is>
          <t>Remove or change default passwords on OT devices.</t>
        </is>
      </c>
      <c r="D14" s="7" t="n"/>
      <c r="E14" s="7" t="inlineStr">
        <is>
          <t>Not started</t>
        </is>
      </c>
      <c r="F14" s="7" t="n"/>
      <c r="G14" s="7" t="n"/>
      <c r="H14" s="7" t="n"/>
      <c r="I14" s="7" t="n"/>
      <c r="J14" s="7" t="n"/>
      <c r="K14" s="7" t="n"/>
      <c r="L14" s="6">
        <f>COUNTA(G14:K14)</f>
        <v/>
      </c>
    </row>
    <row r="15">
      <c r="A15" s="5" t="inlineStr">
        <is>
          <t>Access and remote access</t>
        </is>
      </c>
      <c r="B15" s="6" t="inlineStr">
        <is>
          <t>AC-4</t>
        </is>
      </c>
      <c r="C15" s="6" t="inlineStr">
        <is>
          <t>Review access rights at least yearly and when staff or vendors change.</t>
        </is>
      </c>
      <c r="D15" s="7" t="n"/>
      <c r="E15" s="7" t="inlineStr">
        <is>
          <t>Not started</t>
        </is>
      </c>
      <c r="F15" s="7" t="n"/>
      <c r="G15" s="7" t="n"/>
      <c r="H15" s="7" t="n"/>
      <c r="I15" s="7" t="n"/>
      <c r="J15" s="7" t="n"/>
      <c r="K15" s="7" t="n"/>
      <c r="L15" s="6">
        <f>COUNTA(G15:K15)</f>
        <v/>
      </c>
    </row>
    <row r="16">
      <c r="A16" s="5" t="inlineStr">
        <is>
          <t>Vulnerability and patching</t>
        </is>
      </c>
      <c r="B16" s="6" t="inlineStr">
        <is>
          <t>VM-1</t>
        </is>
      </c>
      <c r="C16" s="6" t="inlineStr">
        <is>
          <t>Track vulnerabilities that affect your OT assets.</t>
        </is>
      </c>
      <c r="D16" s="7" t="n"/>
      <c r="E16" s="7" t="inlineStr">
        <is>
          <t>Not started</t>
        </is>
      </c>
      <c r="F16" s="7" t="n"/>
      <c r="G16" s="7" t="n"/>
      <c r="H16" s="7" t="n"/>
      <c r="I16" s="7" t="n"/>
      <c r="J16" s="7" t="n"/>
      <c r="K16" s="7" t="n"/>
      <c r="L16" s="6">
        <f>COUNTA(G16:K16)</f>
        <v/>
      </c>
    </row>
    <row r="17">
      <c r="A17" s="5" t="inlineStr">
        <is>
          <t>Vulnerability and patching</t>
        </is>
      </c>
      <c r="B17" s="6" t="inlineStr">
        <is>
          <t>VM-2</t>
        </is>
      </c>
      <c r="C17" s="6" t="inlineStr">
        <is>
          <t>Rank fixes by safety and production impact, not only by severity score.</t>
        </is>
      </c>
      <c r="D17" s="7" t="n"/>
      <c r="E17" s="7" t="inlineStr">
        <is>
          <t>Not started</t>
        </is>
      </c>
      <c r="F17" s="7" t="n"/>
      <c r="G17" s="7" t="n"/>
      <c r="H17" s="7" t="n"/>
      <c r="I17" s="7" t="n"/>
      <c r="J17" s="7" t="n"/>
      <c r="K17" s="7" t="n"/>
      <c r="L17" s="6">
        <f>COUNTA(G17:K17)</f>
        <v/>
      </c>
    </row>
    <row r="18">
      <c r="A18" s="5" t="inlineStr">
        <is>
          <t>Vulnerability and patching</t>
        </is>
      </c>
      <c r="B18" s="6" t="inlineStr">
        <is>
          <t>VM-3</t>
        </is>
      </c>
      <c r="C18" s="6" t="inlineStr">
        <is>
          <t>Plan patches and compensating controls around outage windows.</t>
        </is>
      </c>
      <c r="D18" s="7" t="n"/>
      <c r="E18" s="7" t="inlineStr">
        <is>
          <t>Not started</t>
        </is>
      </c>
      <c r="F18" s="7" t="n"/>
      <c r="G18" s="7" t="n"/>
      <c r="H18" s="7" t="n"/>
      <c r="I18" s="7" t="n"/>
      <c r="J18" s="7" t="n"/>
      <c r="K18" s="7" t="n"/>
      <c r="L18" s="6">
        <f>COUNTA(G18:K18)</f>
        <v/>
      </c>
    </row>
    <row r="19">
      <c r="A19" s="5" t="inlineStr">
        <is>
          <t>Monitoring and detection</t>
        </is>
      </c>
      <c r="B19" s="6" t="inlineStr">
        <is>
          <t>MD-1</t>
        </is>
      </c>
      <c r="C19" s="6" t="inlineStr">
        <is>
          <t>Collect logs from OT boundary devices and key OT servers.</t>
        </is>
      </c>
      <c r="D19" s="7" t="n"/>
      <c r="E19" s="7" t="inlineStr">
        <is>
          <t>Not started</t>
        </is>
      </c>
      <c r="F19" s="7" t="n"/>
      <c r="G19" s="7" t="n"/>
      <c r="H19" s="7" t="n"/>
      <c r="I19" s="7" t="n"/>
      <c r="J19" s="7" t="n"/>
      <c r="K19" s="7" t="n"/>
      <c r="L19" s="6">
        <f>COUNTA(G19:K19)</f>
        <v/>
      </c>
    </row>
    <row r="20">
      <c r="A20" s="5" t="inlineStr">
        <is>
          <t>Monitoring and detection</t>
        </is>
      </c>
      <c r="B20" s="6" t="inlineStr">
        <is>
          <t>MD-2</t>
        </is>
      </c>
      <c r="C20" s="6" t="inlineStr">
        <is>
          <t>Define who watches OT alerts and how they escalate.</t>
        </is>
      </c>
      <c r="D20" s="7" t="n"/>
      <c r="E20" s="7" t="inlineStr">
        <is>
          <t>Not started</t>
        </is>
      </c>
      <c r="F20" s="7" t="n"/>
      <c r="G20" s="7" t="n"/>
      <c r="H20" s="7" t="n"/>
      <c r="I20" s="7" t="n"/>
      <c r="J20" s="7" t="n"/>
      <c r="K20" s="7" t="n"/>
      <c r="L20" s="6">
        <f>COUNTA(G20:K20)</f>
        <v/>
      </c>
    </row>
    <row r="21">
      <c r="A21" s="5" t="inlineStr">
        <is>
          <t>Monitoring and detection</t>
        </is>
      </c>
      <c r="B21" s="6" t="inlineStr">
        <is>
          <t>MD-3</t>
        </is>
      </c>
      <c r="C21" s="6" t="inlineStr">
        <is>
          <t>Include the security question when investigating unexplained process trips.</t>
        </is>
      </c>
      <c r="D21" s="7" t="n"/>
      <c r="E21" s="7" t="inlineStr">
        <is>
          <t>Not started</t>
        </is>
      </c>
      <c r="F21" s="7" t="n"/>
      <c r="G21" s="7" t="n"/>
      <c r="H21" s="7" t="n"/>
      <c r="I21" s="7" t="n"/>
      <c r="J21" s="7" t="n"/>
      <c r="K21" s="7" t="n"/>
      <c r="L21" s="6">
        <f>COUNTA(G21:K21)</f>
        <v/>
      </c>
    </row>
    <row r="22">
      <c r="A22" s="5" t="inlineStr">
        <is>
          <t>Incident response and recovery</t>
        </is>
      </c>
      <c r="B22" s="6" t="inlineStr">
        <is>
          <t>IR-1</t>
        </is>
      </c>
      <c r="C22" s="6" t="inlineStr">
        <is>
          <t>Keep one incident response plan with IT, OT, operations and safety roles.</t>
        </is>
      </c>
      <c r="D22" s="7" t="n"/>
      <c r="E22" s="7" t="inlineStr">
        <is>
          <t>Not started</t>
        </is>
      </c>
      <c r="F22" s="7" t="n"/>
      <c r="G22" s="7" t="n"/>
      <c r="H22" s="7" t="n"/>
      <c r="I22" s="7" t="n"/>
      <c r="J22" s="7" t="n"/>
      <c r="K22" s="7" t="n"/>
      <c r="L22" s="6">
        <f>COUNTA(G22:K22)</f>
        <v/>
      </c>
    </row>
    <row r="23">
      <c r="A23" s="5" t="inlineStr">
        <is>
          <t>Incident response and recovery</t>
        </is>
      </c>
      <c r="B23" s="6" t="inlineStr">
        <is>
          <t>IR-2</t>
        </is>
      </c>
      <c r="C23" s="6" t="inlineStr">
        <is>
          <t>Keep offline, tested backups of controller logic, configurations and key systems.</t>
        </is>
      </c>
      <c r="D23" s="7" t="n"/>
      <c r="E23" s="7" t="inlineStr">
        <is>
          <t>Not started</t>
        </is>
      </c>
      <c r="F23" s="7" t="n"/>
      <c r="G23" s="7" t="n"/>
      <c r="H23" s="7" t="n"/>
      <c r="I23" s="7" t="n"/>
      <c r="J23" s="7" t="n"/>
      <c r="K23" s="7" t="n"/>
      <c r="L23" s="6">
        <f>COUNTA(G23:K23)</f>
        <v/>
      </c>
    </row>
    <row r="24">
      <c r="A24" s="5" t="inlineStr">
        <is>
          <t>Incident response and recovery</t>
        </is>
      </c>
      <c r="B24" s="6" t="inlineStr">
        <is>
          <t>IR-3</t>
        </is>
      </c>
      <c r="C24" s="6" t="inlineStr">
        <is>
          <t>Document manual operating procedures for critical processes.</t>
        </is>
      </c>
      <c r="D24" s="7" t="n"/>
      <c r="E24" s="7" t="inlineStr">
        <is>
          <t>Not started</t>
        </is>
      </c>
      <c r="F24" s="7" t="n"/>
      <c r="G24" s="7" t="n"/>
      <c r="H24" s="7" t="n"/>
      <c r="I24" s="7" t="n"/>
      <c r="J24" s="7" t="n"/>
      <c r="K24" s="7" t="n"/>
      <c r="L24" s="6">
        <f>COUNTA(G24:K24)</f>
        <v/>
      </c>
    </row>
    <row r="25">
      <c r="A25" s="5" t="inlineStr">
        <is>
          <t>Incident response and recovery</t>
        </is>
      </c>
      <c r="B25" s="6" t="inlineStr">
        <is>
          <t>IR-4</t>
        </is>
      </c>
      <c r="C25" s="6" t="inlineStr">
        <is>
          <t>Exercise the plan at least once a year.</t>
        </is>
      </c>
      <c r="D25" s="7" t="n"/>
      <c r="E25" s="7" t="inlineStr">
        <is>
          <t>Not started</t>
        </is>
      </c>
      <c r="F25" s="7" t="n"/>
      <c r="G25" s="7" t="n"/>
      <c r="H25" s="7" t="n"/>
      <c r="I25" s="7" t="n"/>
      <c r="J25" s="7" t="n"/>
      <c r="K25" s="7" t="n"/>
      <c r="L25" s="6">
        <f>COUNTA(G25:K25)</f>
        <v/>
      </c>
    </row>
    <row r="26">
      <c r="A26" s="5" t="inlineStr">
        <is>
          <t>Incident response and recovery</t>
        </is>
      </c>
      <c r="B26" s="6" t="inlineStr">
        <is>
          <t>IR-5</t>
        </is>
      </c>
      <c r="C26" s="6" t="inlineStr">
        <is>
          <t>Know your regulatory reporting deadlines and contacts.</t>
        </is>
      </c>
      <c r="D26" s="7" t="n"/>
      <c r="E26" s="7" t="inlineStr">
        <is>
          <t>Not started</t>
        </is>
      </c>
      <c r="F26" s="7" t="n"/>
      <c r="G26" s="7" t="n"/>
      <c r="H26" s="7" t="n"/>
      <c r="I26" s="7" t="n"/>
      <c r="J26" s="7" t="n"/>
      <c r="K26" s="7" t="n"/>
      <c r="L26" s="6">
        <f>COUNTA(G26:K26)</f>
        <v/>
      </c>
    </row>
    <row r="27">
      <c r="A27" s="5" t="inlineStr">
        <is>
          <t>Supply chain and vendors</t>
        </is>
      </c>
      <c r="B27" s="6" t="inlineStr">
        <is>
          <t>SC-1</t>
        </is>
      </c>
      <c r="C27" s="6" t="inlineStr">
        <is>
          <t>Put security requirements into OT purchase contracts.</t>
        </is>
      </c>
      <c r="D27" s="7" t="n"/>
      <c r="E27" s="7" t="inlineStr">
        <is>
          <t>Not started</t>
        </is>
      </c>
      <c r="F27" s="7" t="n"/>
      <c r="G27" s="7" t="n"/>
      <c r="H27" s="7" t="n"/>
      <c r="I27" s="7" t="n"/>
      <c r="J27" s="7" t="n"/>
      <c r="K27" s="7" t="n"/>
      <c r="L27" s="6">
        <f>COUNTA(G27:K27)</f>
        <v/>
      </c>
    </row>
    <row r="28">
      <c r="A28" s="5" t="inlineStr">
        <is>
          <t>Supply chain and vendors</t>
        </is>
      </c>
      <c r="B28" s="6" t="inlineStr">
        <is>
          <t>SC-2</t>
        </is>
      </c>
      <c r="C28" s="6" t="inlineStr">
        <is>
          <t>Keep a list of vendors with remote or on-site access.</t>
        </is>
      </c>
      <c r="D28" s="7" t="n"/>
      <c r="E28" s="7" t="inlineStr">
        <is>
          <t>Not started</t>
        </is>
      </c>
      <c r="F28" s="7" t="n"/>
      <c r="G28" s="7" t="n"/>
      <c r="H28" s="7" t="n"/>
      <c r="I28" s="7" t="n"/>
      <c r="J28" s="7" t="n"/>
      <c r="K28" s="7" t="n"/>
      <c r="L28" s="6">
        <f>COUNTA(G28:K28)</f>
        <v/>
      </c>
    </row>
    <row r="29">
      <c r="A29" s="5" t="inlineStr">
        <is>
          <t>Supply chain and vendors</t>
        </is>
      </c>
      <c r="B29" s="6" t="inlineStr">
        <is>
          <t>SC-3</t>
        </is>
      </c>
      <c r="C29" s="6" t="inlineStr">
        <is>
          <t>Check software and firmware integrity before installing.</t>
        </is>
      </c>
      <c r="D29" s="7" t="n"/>
      <c r="E29" s="7" t="inlineStr">
        <is>
          <t>Not started</t>
        </is>
      </c>
      <c r="F29" s="7" t="n"/>
      <c r="G29" s="7" t="n"/>
      <c r="H29" s="7" t="n"/>
      <c r="I29" s="7" t="n"/>
      <c r="J29" s="7" t="n"/>
      <c r="K29" s="7" t="n"/>
      <c r="L29" s="6">
        <f>COUNTA(G29:K29)</f>
        <v/>
      </c>
    </row>
    <row r="30">
      <c r="A30" s="5" t="inlineStr">
        <is>
          <t>Governance and reporting</t>
        </is>
      </c>
      <c r="B30" s="6" t="inlineStr">
        <is>
          <t>GV-1</t>
        </is>
      </c>
      <c r="C30" s="6" t="inlineStr">
        <is>
          <t>Name one executive accountable for IT and OT security risk.</t>
        </is>
      </c>
      <c r="D30" s="7" t="n"/>
      <c r="E30" s="7" t="inlineStr">
        <is>
          <t>Not started</t>
        </is>
      </c>
      <c r="F30" s="7" t="n"/>
      <c r="G30" s="7" t="n"/>
      <c r="H30" s="7" t="n"/>
      <c r="I30" s="7" t="n"/>
      <c r="J30" s="7" t="n"/>
      <c r="K30" s="7" t="n"/>
      <c r="L30" s="6">
        <f>COUNTA(G30:K30)</f>
        <v/>
      </c>
    </row>
    <row r="31">
      <c r="A31" s="5" t="inlineStr">
        <is>
          <t>Governance and reporting</t>
        </is>
      </c>
      <c r="B31" s="6" t="inlineStr">
        <is>
          <t>GV-2</t>
        </is>
      </c>
      <c r="C31" s="6" t="inlineStr">
        <is>
          <t>Agree a joint IT/OT charter.</t>
        </is>
      </c>
      <c r="D31" s="7" t="n"/>
      <c r="E31" s="7" t="inlineStr">
        <is>
          <t>Not started</t>
        </is>
      </c>
      <c r="F31" s="7" t="n"/>
      <c r="G31" s="7" t="n"/>
      <c r="H31" s="7" t="n"/>
      <c r="I31" s="7" t="n"/>
      <c r="J31" s="7" t="n"/>
      <c r="K31" s="7" t="n"/>
      <c r="L31" s="6">
        <f>COUNTA(G31:K31)</f>
        <v/>
      </c>
    </row>
    <row r="32">
      <c r="A32" s="5" t="inlineStr">
        <is>
          <t>Governance and reporting</t>
        </is>
      </c>
      <c r="B32" s="6" t="inlineStr">
        <is>
          <t>GV-3</t>
        </is>
      </c>
      <c r="C32" s="6" t="inlineStr">
        <is>
          <t>Include cyber scenarios in process hazard reviews.</t>
        </is>
      </c>
      <c r="D32" s="7" t="n"/>
      <c r="E32" s="7" t="inlineStr">
        <is>
          <t>Not started</t>
        </is>
      </c>
      <c r="F32" s="7" t="n"/>
      <c r="G32" s="7" t="n"/>
      <c r="H32" s="7" t="n"/>
      <c r="I32" s="7" t="n"/>
      <c r="J32" s="7" t="n"/>
      <c r="K32" s="7" t="n"/>
      <c r="L32" s="6">
        <f>COUNTA(G32:K32)</f>
        <v/>
      </c>
    </row>
    <row r="33">
      <c r="A33" s="5" t="inlineStr">
        <is>
          <t>Governance and reporting</t>
        </is>
      </c>
      <c r="B33" s="6" t="inlineStr">
        <is>
          <t>GV-4</t>
        </is>
      </c>
      <c r="C33" s="6" t="inlineStr">
        <is>
          <t>Report shared security metrics to leadership.</t>
        </is>
      </c>
      <c r="D33" s="7" t="n"/>
      <c r="E33" s="7" t="inlineStr">
        <is>
          <t>Not started</t>
        </is>
      </c>
      <c r="F33" s="7" t="n"/>
      <c r="G33" s="7" t="n"/>
      <c r="H33" s="7" t="n"/>
      <c r="I33" s="7" t="n"/>
      <c r="J33" s="7" t="n"/>
      <c r="K33" s="7" t="n"/>
      <c r="L33" s="6">
        <f>COUNTA(G33:K33)</f>
        <v/>
      </c>
    </row>
    <row r="34">
      <c r="A34" s="5" t="inlineStr">
        <is>
          <t>Governance and reporting</t>
        </is>
      </c>
      <c r="B34" s="6" t="inlineStr">
        <is>
          <t>GV-5</t>
        </is>
      </c>
      <c r="C34" s="6" t="inlineStr">
        <is>
          <t>Train OT staff on security basics and IT staff on plant operations.</t>
        </is>
      </c>
      <c r="D34" s="7" t="n"/>
      <c r="E34" s="7" t="inlineStr">
        <is>
          <t>Not started</t>
        </is>
      </c>
      <c r="F34" s="7" t="n"/>
      <c r="G34" s="7" t="n"/>
      <c r="H34" s="7" t="n"/>
      <c r="I34" s="7" t="n"/>
      <c r="J34" s="7" t="n"/>
      <c r="K34" s="7" t="n"/>
      <c r="L34" s="6">
        <f>COUNTA(G34:K34)</f>
        <v/>
      </c>
    </row>
  </sheetData>
  <autoFilter ref="A4:L34"/>
  <conditionalFormatting sqref="E5:E34">
    <cfRule type="cellIs" priority="1" operator="equal" dxfId="0">
      <formula>"Not started"</formula>
    </cfRule>
    <cfRule type="cellIs" priority="2" operator="equal" dxfId="1">
      <formula>"Partial"</formula>
    </cfRule>
    <cfRule type="cellIs" priority="3" operator="equal" dxfId="2">
      <formula>"In place"</formula>
    </cfRule>
  </conditionalFormatting>
  <dataValidations count="2">
    <dataValidation sqref="D5 D6 D7 D8 D9 D10 D11 D12 D13 D14 D15 D16 D17 D18 D19 D20 D21 D22 D23 D24 D25 D26 D27 D28 D29 D30 D31 D32 D33 D34" showDropDown="0" showInputMessage="0" showErrorMessage="0" allowBlank="1" type="list">
      <formula1>"IT,OT,Joint,Safety"</formula1>
    </dataValidation>
    <dataValidation sqref="E5 E6 E7 E8 E9 E10 E11 E12 E13 E14 E15 E16 E17 E18 E19 E20 E21 E22 E23 E24 E25 E26 E27 E28 E29 E30 E31 E32 E33 E34" showDropDown="0" showInputMessage="0" showErrorMessage="0" allowBlank="1" type="list">
      <formula1>"Not started,Partial,In place"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6" customWidth="1" min="1" max="1"/>
    <col width="36" customWidth="1" min="2" max="2"/>
    <col width="30" customWidth="1" min="3" max="3"/>
    <col width="18" customWidth="1" min="4" max="4"/>
    <col width="34" customWidth="1" min="5" max="5"/>
    <col width="14" customWidth="1" min="6" max="6"/>
    <col width="30" customWidth="1" min="7" max="7"/>
  </cols>
  <sheetData>
    <row r="1">
      <c r="A1" s="1" t="inlineStr">
        <is>
          <t>Mandates</t>
        </is>
      </c>
    </row>
    <row r="2">
      <c r="A2" s="2" t="inlineStr">
        <is>
          <t>Everything you are asked to comply with, in one list</t>
        </is>
      </c>
    </row>
    <row r="4">
      <c r="A4" s="4" t="inlineStr">
        <is>
          <t>Mandate or requirement</t>
        </is>
      </c>
      <c r="B4" s="4" t="inlineStr">
        <is>
          <t>Category</t>
        </is>
      </c>
      <c r="C4" s="4" t="inlineStr">
        <is>
          <t>Applies to (sites, systems)</t>
        </is>
      </c>
      <c r="D4" s="4" t="inlineStr">
        <is>
          <t>Key deadlines</t>
        </is>
      </c>
      <c r="E4" s="4" t="inlineStr">
        <is>
          <t>Reporting obligations</t>
        </is>
      </c>
      <c r="F4" s="4" t="inlineStr">
        <is>
          <t>Owner</t>
        </is>
      </c>
      <c r="G4" s="4" t="inlineStr">
        <is>
          <t>Notes</t>
        </is>
      </c>
    </row>
    <row r="5">
      <c r="A5" s="7" t="n"/>
      <c r="B5" s="7" t="n"/>
      <c r="C5" s="7" t="n"/>
      <c r="D5" s="7" t="n"/>
      <c r="E5" s="7" t="n"/>
      <c r="F5" s="7" t="n"/>
      <c r="G5" s="7" t="n"/>
    </row>
    <row r="6">
      <c r="A6" s="7" t="n"/>
      <c r="B6" s="7" t="n"/>
      <c r="C6" s="7" t="n"/>
      <c r="D6" s="7" t="n"/>
      <c r="E6" s="7" t="n"/>
      <c r="F6" s="7" t="n"/>
      <c r="G6" s="7" t="n"/>
    </row>
    <row r="7">
      <c r="A7" s="7" t="n"/>
      <c r="B7" s="7" t="n"/>
      <c r="C7" s="7" t="n"/>
      <c r="D7" s="7" t="n"/>
      <c r="E7" s="7" t="n"/>
      <c r="F7" s="7" t="n"/>
      <c r="G7" s="7" t="n"/>
    </row>
    <row r="8">
      <c r="A8" s="7" t="n"/>
      <c r="B8" s="7" t="n"/>
      <c r="C8" s="7" t="n"/>
      <c r="D8" s="7" t="n"/>
      <c r="E8" s="7" t="n"/>
      <c r="F8" s="7" t="n"/>
      <c r="G8" s="7" t="n"/>
    </row>
    <row r="9">
      <c r="A9" s="7" t="n"/>
      <c r="B9" s="7" t="n"/>
      <c r="C9" s="7" t="n"/>
      <c r="D9" s="7" t="n"/>
      <c r="E9" s="7" t="n"/>
      <c r="F9" s="7" t="n"/>
      <c r="G9" s="7" t="n"/>
    </row>
    <row r="10">
      <c r="A10" s="7" t="n"/>
      <c r="B10" s="7" t="n"/>
      <c r="C10" s="7" t="n"/>
      <c r="D10" s="7" t="n"/>
      <c r="E10" s="7" t="n"/>
      <c r="F10" s="7" t="n"/>
      <c r="G10" s="7" t="n"/>
    </row>
    <row r="11">
      <c r="A11" s="7" t="n"/>
      <c r="B11" s="7" t="n"/>
      <c r="C11" s="7" t="n"/>
      <c r="D11" s="7" t="n"/>
      <c r="E11" s="7" t="n"/>
      <c r="F11" s="7" t="n"/>
      <c r="G11" s="7" t="n"/>
    </row>
    <row r="12">
      <c r="A12" s="7" t="n"/>
      <c r="B12" s="7" t="n"/>
      <c r="C12" s="7" t="n"/>
      <c r="D12" s="7" t="n"/>
      <c r="E12" s="7" t="n"/>
      <c r="F12" s="7" t="n"/>
      <c r="G12" s="7" t="n"/>
    </row>
    <row r="13">
      <c r="A13" s="7" t="n"/>
      <c r="B13" s="7" t="n"/>
      <c r="C13" s="7" t="n"/>
      <c r="D13" s="7" t="n"/>
      <c r="E13" s="7" t="n"/>
      <c r="F13" s="7" t="n"/>
      <c r="G13" s="7" t="n"/>
    </row>
    <row r="14">
      <c r="A14" s="7" t="n"/>
      <c r="B14" s="7" t="n"/>
      <c r="C14" s="7" t="n"/>
      <c r="D14" s="7" t="n"/>
      <c r="E14" s="7" t="n"/>
      <c r="F14" s="7" t="n"/>
      <c r="G14" s="7" t="n"/>
    </row>
    <row r="15">
      <c r="A15" s="7" t="n"/>
      <c r="B15" s="7" t="n"/>
      <c r="C15" s="7" t="n"/>
      <c r="D15" s="7" t="n"/>
      <c r="E15" s="7" t="n"/>
      <c r="F15" s="7" t="n"/>
      <c r="G15" s="7" t="n"/>
    </row>
    <row r="16">
      <c r="A16" s="7" t="n"/>
      <c r="B16" s="7" t="n"/>
      <c r="C16" s="7" t="n"/>
      <c r="D16" s="7" t="n"/>
      <c r="E16" s="7" t="n"/>
      <c r="F16" s="7" t="n"/>
      <c r="G16" s="7" t="n"/>
    </row>
    <row r="17">
      <c r="A17" s="7" t="n"/>
      <c r="B17" s="7" t="n"/>
      <c r="C17" s="7" t="n"/>
      <c r="D17" s="7" t="n"/>
      <c r="E17" s="7" t="n"/>
      <c r="F17" s="7" t="n"/>
      <c r="G17" s="7" t="n"/>
    </row>
    <row r="18">
      <c r="A18" s="7" t="n"/>
      <c r="B18" s="7" t="n"/>
      <c r="C18" s="7" t="n"/>
      <c r="D18" s="7" t="n"/>
      <c r="E18" s="7" t="n"/>
      <c r="F18" s="7" t="n"/>
      <c r="G18" s="7" t="n"/>
    </row>
    <row r="19">
      <c r="A19" s="7" t="n"/>
      <c r="B19" s="7" t="n"/>
      <c r="C19" s="7" t="n"/>
      <c r="D19" s="7" t="n"/>
      <c r="E19" s="7" t="n"/>
      <c r="F19" s="7" t="n"/>
      <c r="G19" s="7" t="n"/>
    </row>
    <row r="20">
      <c r="A20" s="7" t="n"/>
      <c r="B20" s="7" t="n"/>
      <c r="C20" s="7" t="n"/>
      <c r="D20" s="7" t="n"/>
      <c r="E20" s="7" t="n"/>
      <c r="F20" s="7" t="n"/>
      <c r="G20" s="7" t="n"/>
    </row>
    <row r="21">
      <c r="A21" s="7" t="n"/>
      <c r="B21" s="7" t="n"/>
      <c r="C21" s="7" t="n"/>
      <c r="D21" s="7" t="n"/>
      <c r="E21" s="7" t="n"/>
      <c r="F21" s="7" t="n"/>
      <c r="G21" s="7" t="n"/>
    </row>
    <row r="22">
      <c r="A22" s="7" t="n"/>
      <c r="B22" s="7" t="n"/>
      <c r="C22" s="7" t="n"/>
      <c r="D22" s="7" t="n"/>
      <c r="E22" s="7" t="n"/>
      <c r="F22" s="7" t="n"/>
      <c r="G22" s="7" t="n"/>
    </row>
    <row r="23">
      <c r="A23" s="7" t="n"/>
      <c r="B23" s="7" t="n"/>
      <c r="C23" s="7" t="n"/>
      <c r="D23" s="7" t="n"/>
      <c r="E23" s="7" t="n"/>
      <c r="F23" s="7" t="n"/>
      <c r="G23" s="7" t="n"/>
    </row>
    <row r="24">
      <c r="A24" s="7" t="n"/>
      <c r="B24" s="7" t="n"/>
      <c r="C24" s="7" t="n"/>
      <c r="D24" s="7" t="n"/>
      <c r="E24" s="7" t="n"/>
      <c r="F24" s="7" t="n"/>
      <c r="G24" s="7" t="n"/>
    </row>
  </sheetData>
  <dataValidations count="1">
    <dataValidation sqref="B5 B6 B7 B8 B9 B10 B11 B12 B13 B14 B15 B16 B17 B18 B19 B20 B21 B22 B23 B24" showDropDown="0" showInputMessage="0" showErrorMessage="0" allowBlank="1" type="list">
      <formula1>"Environmental and process safety,National cyber directives and sector rules,Cross-border cyber resilience laws,Industry frameworks and standards,Insurer and customer requirements"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0" customWidth="1" min="1" max="1"/>
    <col width="11" customWidth="1" min="2" max="2"/>
    <col width="11" customWidth="1" min="3" max="3"/>
    <col width="11" customWidth="1" min="4" max="4"/>
    <col width="13" customWidth="1" min="5" max="5"/>
    <col width="12" customWidth="1" min="6" max="6"/>
  </cols>
  <sheetData>
    <row r="1">
      <c r="A1" s="1" t="inlineStr">
        <is>
          <t>Summary</t>
        </is>
      </c>
    </row>
    <row r="2">
      <c r="A2" s="2" t="inlineStr">
        <is>
          <t>Calculated from the Crosswalk sheet</t>
        </is>
      </c>
    </row>
    <row r="4">
      <c r="A4" s="4" t="inlineStr">
        <is>
          <t>Control family</t>
        </is>
      </c>
      <c r="B4" s="4" t="inlineStr">
        <is>
          <t>Controls</t>
        </is>
      </c>
      <c r="C4" s="4" t="inlineStr">
        <is>
          <t>In place</t>
        </is>
      </c>
      <c r="D4" s="4" t="inlineStr">
        <is>
          <t>Partial</t>
        </is>
      </c>
      <c r="E4" s="4" t="inlineStr">
        <is>
          <t>Not started</t>
        </is>
      </c>
      <c r="F4" s="4" t="inlineStr">
        <is>
          <t>% in place</t>
        </is>
      </c>
    </row>
    <row r="5">
      <c r="A5" s="8" t="inlineStr">
        <is>
          <t>Asset inventory</t>
        </is>
      </c>
      <c r="B5">
        <f>COUNTIF(Crosswalk!$A$5:$A$34,A5)</f>
        <v/>
      </c>
      <c r="C5">
        <f>COUNTIFS(Crosswalk!$A$5:$A$34,$A5,Crosswalk!$E$5:$E$34,"In place")</f>
        <v/>
      </c>
      <c r="D5">
        <f>COUNTIFS(Crosswalk!$A$5:$A$34,$A5,Crosswalk!$E$5:$E$34,"Partial")</f>
        <v/>
      </c>
      <c r="E5">
        <f>COUNTIFS(Crosswalk!$A$5:$A$34,$A5,Crosswalk!$E$5:$E$34,"Not started")</f>
        <v/>
      </c>
      <c r="F5" s="9">
        <f>IF(B5=0,0,C5/B5)</f>
        <v/>
      </c>
    </row>
    <row r="6">
      <c r="A6" s="8" t="inlineStr">
        <is>
          <t>Segmentation</t>
        </is>
      </c>
      <c r="B6">
        <f>COUNTIF(Crosswalk!$A$5:$A$34,A6)</f>
        <v/>
      </c>
      <c r="C6">
        <f>COUNTIFS(Crosswalk!$A$5:$A$34,$A6,Crosswalk!$E$5:$E$34,"In place")</f>
        <v/>
      </c>
      <c r="D6">
        <f>COUNTIFS(Crosswalk!$A$5:$A$34,$A6,Crosswalk!$E$5:$E$34,"Partial")</f>
        <v/>
      </c>
      <c r="E6">
        <f>COUNTIFS(Crosswalk!$A$5:$A$34,$A6,Crosswalk!$E$5:$E$34,"Not started")</f>
        <v/>
      </c>
      <c r="F6" s="9">
        <f>IF(B6=0,0,C6/B6)</f>
        <v/>
      </c>
    </row>
    <row r="7">
      <c r="A7" s="8" t="inlineStr">
        <is>
          <t>Access and remote access</t>
        </is>
      </c>
      <c r="B7">
        <f>COUNTIF(Crosswalk!$A$5:$A$34,A7)</f>
        <v/>
      </c>
      <c r="C7">
        <f>COUNTIFS(Crosswalk!$A$5:$A$34,$A7,Crosswalk!$E$5:$E$34,"In place")</f>
        <v/>
      </c>
      <c r="D7">
        <f>COUNTIFS(Crosswalk!$A$5:$A$34,$A7,Crosswalk!$E$5:$E$34,"Partial")</f>
        <v/>
      </c>
      <c r="E7">
        <f>COUNTIFS(Crosswalk!$A$5:$A$34,$A7,Crosswalk!$E$5:$E$34,"Not started")</f>
        <v/>
      </c>
      <c r="F7" s="9">
        <f>IF(B7=0,0,C7/B7)</f>
        <v/>
      </c>
    </row>
    <row r="8">
      <c r="A8" s="8" t="inlineStr">
        <is>
          <t>Vulnerability and patching</t>
        </is>
      </c>
      <c r="B8">
        <f>COUNTIF(Crosswalk!$A$5:$A$34,A8)</f>
        <v/>
      </c>
      <c r="C8">
        <f>COUNTIFS(Crosswalk!$A$5:$A$34,$A8,Crosswalk!$E$5:$E$34,"In place")</f>
        <v/>
      </c>
      <c r="D8">
        <f>COUNTIFS(Crosswalk!$A$5:$A$34,$A8,Crosswalk!$E$5:$E$34,"Partial")</f>
        <v/>
      </c>
      <c r="E8">
        <f>COUNTIFS(Crosswalk!$A$5:$A$34,$A8,Crosswalk!$E$5:$E$34,"Not started")</f>
        <v/>
      </c>
      <c r="F8" s="9">
        <f>IF(B8=0,0,C8/B8)</f>
        <v/>
      </c>
    </row>
    <row r="9">
      <c r="A9" s="8" t="inlineStr">
        <is>
          <t>Monitoring and detection</t>
        </is>
      </c>
      <c r="B9">
        <f>COUNTIF(Crosswalk!$A$5:$A$34,A9)</f>
        <v/>
      </c>
      <c r="C9">
        <f>COUNTIFS(Crosswalk!$A$5:$A$34,$A9,Crosswalk!$E$5:$E$34,"In place")</f>
        <v/>
      </c>
      <c r="D9">
        <f>COUNTIFS(Crosswalk!$A$5:$A$34,$A9,Crosswalk!$E$5:$E$34,"Partial")</f>
        <v/>
      </c>
      <c r="E9">
        <f>COUNTIFS(Crosswalk!$A$5:$A$34,$A9,Crosswalk!$E$5:$E$34,"Not started")</f>
        <v/>
      </c>
      <c r="F9" s="9">
        <f>IF(B9=0,0,C9/B9)</f>
        <v/>
      </c>
    </row>
    <row r="10">
      <c r="A10" s="8" t="inlineStr">
        <is>
          <t>Incident response and recovery</t>
        </is>
      </c>
      <c r="B10">
        <f>COUNTIF(Crosswalk!$A$5:$A$34,A10)</f>
        <v/>
      </c>
      <c r="C10">
        <f>COUNTIFS(Crosswalk!$A$5:$A$34,$A10,Crosswalk!$E$5:$E$34,"In place")</f>
        <v/>
      </c>
      <c r="D10">
        <f>COUNTIFS(Crosswalk!$A$5:$A$34,$A10,Crosswalk!$E$5:$E$34,"Partial")</f>
        <v/>
      </c>
      <c r="E10">
        <f>COUNTIFS(Crosswalk!$A$5:$A$34,$A10,Crosswalk!$E$5:$E$34,"Not started")</f>
        <v/>
      </c>
      <c r="F10" s="9">
        <f>IF(B10=0,0,C10/B10)</f>
        <v/>
      </c>
    </row>
    <row r="11">
      <c r="A11" s="8" t="inlineStr">
        <is>
          <t>Supply chain and vendors</t>
        </is>
      </c>
      <c r="B11">
        <f>COUNTIF(Crosswalk!$A$5:$A$34,A11)</f>
        <v/>
      </c>
      <c r="C11">
        <f>COUNTIFS(Crosswalk!$A$5:$A$34,$A11,Crosswalk!$E$5:$E$34,"In place")</f>
        <v/>
      </c>
      <c r="D11">
        <f>COUNTIFS(Crosswalk!$A$5:$A$34,$A11,Crosswalk!$E$5:$E$34,"Partial")</f>
        <v/>
      </c>
      <c r="E11">
        <f>COUNTIFS(Crosswalk!$A$5:$A$34,$A11,Crosswalk!$E$5:$E$34,"Not started")</f>
        <v/>
      </c>
      <c r="F11" s="9">
        <f>IF(B11=0,0,C11/B11)</f>
        <v/>
      </c>
    </row>
    <row r="12">
      <c r="A12" s="8" t="inlineStr">
        <is>
          <t>Governance and reporting</t>
        </is>
      </c>
      <c r="B12">
        <f>COUNTIF(Crosswalk!$A$5:$A$34,A12)</f>
        <v/>
      </c>
      <c r="C12">
        <f>COUNTIFS(Crosswalk!$A$5:$A$34,$A12,Crosswalk!$E$5:$E$34,"In place")</f>
        <v/>
      </c>
      <c r="D12">
        <f>COUNTIFS(Crosswalk!$A$5:$A$34,$A12,Crosswalk!$E$5:$E$34,"Partial")</f>
        <v/>
      </c>
      <c r="E12">
        <f>COUNTIFS(Crosswalk!$A$5:$A$34,$A12,Crosswalk!$E$5:$E$34,"Not started")</f>
        <v/>
      </c>
      <c r="F12" s="9">
        <f>IF(B12=0,0,C12/B12)</f>
        <v/>
      </c>
    </row>
    <row r="13">
      <c r="A13" s="8" t="inlineStr">
        <is>
          <t>Total</t>
        </is>
      </c>
      <c r="B13" s="8">
        <f>SUM(B5:B12)</f>
        <v/>
      </c>
      <c r="C13" s="8">
        <f>SUM(C5:C12)</f>
        <v/>
      </c>
      <c r="D13" s="8">
        <f>SUM(D5:D12)</f>
        <v/>
      </c>
      <c r="E13" s="8">
        <f>SUM(E5:E12)</f>
        <v/>
      </c>
      <c r="F13" s="10">
        <f>IF(B13=0,0,C13/B13)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2026-10-19T04:22:05Z</dcterms:created>
  <dcterms:modified xmlns:dcterms="http://purl.org/dc/terms/" xmlns:xsi="http://www.w3.org/2001/XMLSchema-instance" xsi:type="dcterms:W3CDTF">2026-10-19T04:22:05Z</dcterms:modified>
</cp:coreProperties>
</file>