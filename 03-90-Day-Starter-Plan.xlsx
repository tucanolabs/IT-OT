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Progr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1F2A33"/>
      <sz val="16"/>
    </font>
    <font>
      <name val="Calibri"/>
      <i val="1"/>
      <color rgb="004A5A68"/>
      <sz val="11"/>
    </font>
    <font>
      <name val="Calibri"/>
      <b val="1"/>
      <color rgb="00FFFFFF"/>
      <sz val="11"/>
    </font>
    <font>
      <name val="Calibri"/>
      <b val="1"/>
      <color rgb="001F2A33"/>
    </font>
  </fonts>
  <fills count="4">
    <fill>
      <patternFill/>
    </fill>
    <fill>
      <patternFill patternType="gray125"/>
    </fill>
    <fill>
      <patternFill patternType="solid">
        <fgColor rgb="002D6A8C"/>
      </patternFill>
    </fill>
    <fill>
      <patternFill patternType="solid">
        <fgColor rgb="00FFF4E8"/>
      </patternFill>
    </fill>
  </fills>
  <borders count="2">
    <border>
      <left/>
      <right/>
      <top/>
      <bottom/>
      <diagonal/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4" fillId="0" borderId="0" pivotButton="0" quotePrefix="0" xfId="0"/>
    <xf numFmtId="9" fontId="0" fillId="0" borderId="0" pivotButton="0" quotePrefix="0" xfId="0"/>
    <xf numFmtId="9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8EDE2"/>
        </patternFill>
      </fill>
    </dxf>
    <dxf>
      <fill>
        <patternFill patternType="solid">
          <fgColor rgb="00FCE9CF"/>
        </patternFill>
      </fill>
    </dxf>
    <dxf>
      <fill>
        <patternFill patternType="solid">
          <fgColor rgb="00F6DA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90-day starter plan</t>
        </is>
      </c>
    </row>
    <row r="2">
      <c r="A2" s="2" t="inlineStr">
        <is>
          <t>Part of the IT/OT Monday Kit  |  free to use and adapt</t>
        </is>
      </c>
    </row>
    <row r="4">
      <c r="A4" s="3" t="inlineStr">
        <is>
          <t>A week-by-week plan that needs no new budget and no new tools, only a few hours a week from a small joint group.</t>
        </is>
      </c>
    </row>
    <row r="5">
      <c r="A5" s="3" t="inlineStr">
        <is>
          <t>Phases: Align (people and decisions), Map (assets, access and obligations), Practise (recovery and response).</t>
        </is>
      </c>
    </row>
    <row r="6">
      <c r="A6" s="3" t="inlineStr">
        <is>
          <t>1. Assign an owner to each action on the Plan sheet and adjust weeks to fit your calendar.</t>
        </is>
      </c>
    </row>
    <row r="7">
      <c r="A7" s="3" t="inlineStr">
        <is>
          <t>2. Update Status each week. The Progress sheet counts what is done.</t>
        </is>
      </c>
    </row>
    <row r="8">
      <c r="A8" s="3" t="inlineStr">
        <is>
          <t>3. Effort is a rough estimate in hours for the owner. It is there to show the plan is affordable.</t>
        </is>
      </c>
    </row>
    <row r="9">
      <c r="A9" s="3" t="inlineStr">
        <is>
          <t>4. Actions that touch live OT systems (passwords, remote access, restores) go through your normal change control and need OT approval.</t>
        </is>
      </c>
    </row>
    <row r="11">
      <c r="A11" s="2" t="inlineStr">
        <is>
          <t>Shaded cells are for you to fill 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60" customWidth="1" min="3" max="3"/>
    <col width="44" customWidth="1" min="4" max="4"/>
    <col width="14" customWidth="1" min="5" max="5"/>
    <col width="11" customWidth="1" min="6" max="6"/>
    <col width="13" customWidth="1" min="7" max="7"/>
    <col width="12" customWidth="1" min="8" max="8"/>
    <col width="30" customWidth="1" min="9" max="9"/>
  </cols>
  <sheetData>
    <row r="1">
      <c r="A1" s="1" t="inlineStr">
        <is>
          <t>Plan</t>
        </is>
      </c>
    </row>
    <row r="2">
      <c r="A2" s="2" t="inlineStr">
        <is>
          <t>Days 1 to 90</t>
        </is>
      </c>
    </row>
    <row r="4">
      <c r="A4" s="4" t="inlineStr">
        <is>
          <t>Week</t>
        </is>
      </c>
      <c r="B4" s="4" t="inlineStr">
        <is>
          <t>Phase</t>
        </is>
      </c>
      <c r="C4" s="4" t="inlineStr">
        <is>
          <t>Action</t>
        </is>
      </c>
      <c r="D4" s="4" t="inlineStr">
        <is>
          <t>Why it matters</t>
        </is>
      </c>
      <c r="E4" s="4" t="inlineStr">
        <is>
          <t>Owner</t>
        </is>
      </c>
      <c r="F4" s="4" t="inlineStr">
        <is>
          <t>Effort (hrs)</t>
        </is>
      </c>
      <c r="G4" s="4" t="inlineStr">
        <is>
          <t>Status</t>
        </is>
      </c>
      <c r="H4" s="4" t="inlineStr">
        <is>
          <t>Done date</t>
        </is>
      </c>
      <c r="I4" s="4" t="inlineStr">
        <is>
          <t>Notes</t>
        </is>
      </c>
    </row>
    <row r="5">
      <c r="A5" s="5" t="n">
        <v>1</v>
      </c>
      <c r="B5" s="5" t="inlineStr">
        <is>
          <t>Align</t>
        </is>
      </c>
      <c r="C5" s="5" t="inlineStr">
        <is>
          <t>Name an executive sponsor for IT and OT security risk.</t>
        </is>
      </c>
      <c r="D5" s="5" t="inlineStr">
        <is>
          <t>Without one accountable name, every gap belongs to nobody.</t>
        </is>
      </c>
      <c r="E5" s="6" t="n"/>
      <c r="F5" s="5" t="n">
        <v>2</v>
      </c>
      <c r="G5" s="6" t="inlineStr">
        <is>
          <t>Not started</t>
        </is>
      </c>
      <c r="H5" s="7" t="n"/>
      <c r="I5" s="6" t="n"/>
    </row>
    <row r="6">
      <c r="A6" s="5" t="n">
        <v>1</v>
      </c>
      <c r="B6" s="5" t="inlineStr">
        <is>
          <t>Align</t>
        </is>
      </c>
      <c r="C6" s="5" t="inlineStr">
        <is>
          <t>Book a 60-minute kickoff with the IT security, OT or engineering, and safety leads.</t>
        </is>
      </c>
      <c r="D6" s="5" t="inlineStr">
        <is>
          <t>Gets the three functions in one room from day one.</t>
        </is>
      </c>
      <c r="E6" s="6" t="n"/>
      <c r="F6" s="5" t="n">
        <v>2</v>
      </c>
      <c r="G6" s="6" t="inlineStr">
        <is>
          <t>Not started</t>
        </is>
      </c>
      <c r="H6" s="7" t="n"/>
      <c r="I6" s="6" t="n"/>
    </row>
    <row r="7">
      <c r="A7" s="5" t="n">
        <v>1</v>
      </c>
      <c r="B7" s="5" t="inlineStr">
        <is>
          <t>Align</t>
        </is>
      </c>
      <c r="C7" s="5" t="inlineStr">
        <is>
          <t>Run the 15-minute self-assessment together (01-Self-Assessment).</t>
        </is>
      </c>
      <c r="D7" s="5" t="inlineStr">
        <is>
          <t>Agrees a shared starting point and next step.</t>
        </is>
      </c>
      <c r="E7" s="6" t="n"/>
      <c r="F7" s="5" t="n">
        <v>1</v>
      </c>
      <c r="G7" s="6" t="inlineStr">
        <is>
          <t>Not started</t>
        </is>
      </c>
      <c r="H7" s="7" t="n"/>
      <c r="I7" s="6" t="n"/>
    </row>
    <row r="8">
      <c r="A8" s="5" t="n">
        <v>2</v>
      </c>
      <c r="B8" s="5" t="inlineStr">
        <is>
          <t>Align</t>
        </is>
      </c>
      <c r="C8" s="5" t="inlineStr">
        <is>
          <t>Draft and agree the joint charter (04-IT-OT-Charter-Template). Set a meeting cadence.</t>
        </is>
      </c>
      <c r="D8" s="5" t="inlineStr">
        <is>
          <t>Moves you from Level 1 to Level 2 on paper.</t>
        </is>
      </c>
      <c r="E8" s="6" t="n"/>
      <c r="F8" s="5" t="n">
        <v>4</v>
      </c>
      <c r="G8" s="6" t="inlineStr">
        <is>
          <t>Not started</t>
        </is>
      </c>
      <c r="H8" s="7" t="n"/>
      <c r="I8" s="6" t="n"/>
    </row>
    <row r="9">
      <c r="A9" s="5" t="n">
        <v>2</v>
      </c>
      <c r="B9" s="5" t="inlineStr">
        <is>
          <t>Align</t>
        </is>
      </c>
      <c r="C9" s="5" t="inlineStr">
        <is>
          <t>Pick one pilot site or production line for the next 90 days.</t>
        </is>
      </c>
      <c r="D9" s="5" t="inlineStr">
        <is>
          <t>Small scope makes progress visible and keeps effort low.</t>
        </is>
      </c>
      <c r="E9" s="6" t="n"/>
      <c r="F9" s="5" t="n">
        <v>1</v>
      </c>
      <c r="G9" s="6" t="inlineStr">
        <is>
          <t>Not started</t>
        </is>
      </c>
      <c r="H9" s="7" t="n"/>
      <c r="I9" s="6" t="n"/>
    </row>
    <row r="10">
      <c r="A10" s="5" t="n">
        <v>3</v>
      </c>
      <c r="B10" s="5" t="inlineStr">
        <is>
          <t>Map</t>
        </is>
      </c>
      <c r="C10" s="5" t="inlineStr">
        <is>
          <t>Build a first OT asset list from what already exists: engineering drawings, purchase records, maintenance system, switch tables.</t>
        </is>
      </c>
      <c r="D10" s="5" t="inlineStr">
        <is>
          <t>You cannot protect, patch or report on what you cannot list.</t>
        </is>
      </c>
      <c r="E10" s="6" t="n"/>
      <c r="F10" s="5" t="n">
        <v>8</v>
      </c>
      <c r="G10" s="6" t="inlineStr">
        <is>
          <t>Not started</t>
        </is>
      </c>
      <c r="H10" s="7" t="n"/>
      <c r="I10" s="6" t="n"/>
    </row>
    <row r="11">
      <c r="A11" s="5" t="n">
        <v>3</v>
      </c>
      <c r="B11" s="5" t="inlineStr">
        <is>
          <t>Map</t>
        </is>
      </c>
      <c r="C11" s="5" t="inlineStr">
        <is>
          <t>List every remote access path into the pilot site: vendor tools, VPNs, modems, cellular routers.</t>
        </is>
      </c>
      <c r="D11" s="5" t="inlineStr">
        <is>
          <t>Remote access is the most common way into OT.</t>
        </is>
      </c>
      <c r="E11" s="6" t="n"/>
      <c r="F11" s="5" t="n">
        <v>4</v>
      </c>
      <c r="G11" s="6" t="inlineStr">
        <is>
          <t>Not started</t>
        </is>
      </c>
      <c r="H11" s="7" t="n"/>
      <c r="I11" s="6" t="n"/>
    </row>
    <row r="12">
      <c r="A12" s="5" t="n">
        <v>4</v>
      </c>
      <c r="B12" s="5" t="inlineStr">
        <is>
          <t>Map</t>
        </is>
      </c>
      <c r="C12" s="5" t="inlineStr">
        <is>
          <t>Fix quick wins under normal change control: change default passwords and disable unused remote access.</t>
        </is>
      </c>
      <c r="D12" s="5" t="inlineStr">
        <is>
          <t>High risk reduction for almost no cost.</t>
        </is>
      </c>
      <c r="E12" s="6" t="n"/>
      <c r="F12" s="5" t="n">
        <v>6</v>
      </c>
      <c r="G12" s="6" t="inlineStr">
        <is>
          <t>Not started</t>
        </is>
      </c>
      <c r="H12" s="7" t="n"/>
      <c r="I12" s="6" t="n"/>
    </row>
    <row r="13">
      <c r="A13" s="5" t="n">
        <v>4</v>
      </c>
      <c r="B13" s="5" t="inlineStr">
        <is>
          <t>Align</t>
        </is>
      </c>
      <c r="C13" s="5" t="inlineStr">
        <is>
          <t>Sponsor check-in: share the asset list, remote access findings and quick wins.</t>
        </is>
      </c>
      <c r="D13" s="5" t="inlineStr">
        <is>
          <t>Keeps the sponsor engaged and unblocks decisions.</t>
        </is>
      </c>
      <c r="E13" s="6" t="n"/>
      <c r="F13" s="5" t="n">
        <v>1</v>
      </c>
      <c r="G13" s="6" t="inlineStr">
        <is>
          <t>Not started</t>
        </is>
      </c>
      <c r="H13" s="7" t="n"/>
      <c r="I13" s="6" t="n"/>
    </row>
    <row r="14">
      <c r="A14" s="5" t="n">
        <v>5</v>
      </c>
      <c r="B14" s="5" t="inlineStr">
        <is>
          <t>Map</t>
        </is>
      </c>
      <c r="C14" s="5" t="inlineStr">
        <is>
          <t>List every mandate you face on the Mandates sheet of 02-Control-Crosswalk.</t>
        </is>
      </c>
      <c r="D14" s="5" t="inlineStr">
        <is>
          <t>Turns 'everything is new' into one visible list.</t>
        </is>
      </c>
      <c r="E14" s="6" t="n"/>
      <c r="F14" s="5" t="n">
        <v>3</v>
      </c>
      <c r="G14" s="6" t="inlineStr">
        <is>
          <t>Not started</t>
        </is>
      </c>
      <c r="H14" s="7" t="n"/>
      <c r="I14" s="6" t="n"/>
    </row>
    <row r="15">
      <c r="A15" s="5" t="n">
        <v>6</v>
      </c>
      <c r="B15" s="5" t="inlineStr">
        <is>
          <t>Map</t>
        </is>
      </c>
      <c r="C15" s="5" t="inlineStr">
        <is>
          <t>Fill in the crosswalk for the pilot site: owner, status and evidence for each control.</t>
        </is>
      </c>
      <c r="D15" s="5" t="inlineStr">
        <is>
          <t>Shows where one control already satisfies many mandates.</t>
        </is>
      </c>
      <c r="E15" s="6" t="n"/>
      <c r="F15" s="5" t="n">
        <v>8</v>
      </c>
      <c r="G15" s="6" t="inlineStr">
        <is>
          <t>Not started</t>
        </is>
      </c>
      <c r="H15" s="7" t="n"/>
      <c r="I15" s="6" t="n"/>
    </row>
    <row r="16">
      <c r="A16" s="5" t="n">
        <v>6</v>
      </c>
      <c r="B16" s="5" t="inlineStr">
        <is>
          <t>Map</t>
        </is>
      </c>
      <c r="C16" s="5" t="inlineStr">
        <is>
          <t>With the process safety team, flag the safety-critical and environmentally critical assets.</t>
        </is>
      </c>
      <c r="D16" s="5" t="inlineStr">
        <is>
          <t>Focuses effort where consequences are highest.</t>
        </is>
      </c>
      <c r="E16" s="6" t="n"/>
      <c r="F16" s="5" t="n">
        <v>3</v>
      </c>
      <c r="G16" s="6" t="inlineStr">
        <is>
          <t>Not started</t>
        </is>
      </c>
      <c r="H16" s="7" t="n"/>
      <c r="I16" s="6" t="n"/>
    </row>
    <row r="17">
      <c r="A17" s="5" t="n">
        <v>7</v>
      </c>
      <c r="B17" s="5" t="inlineStr">
        <is>
          <t>Practise</t>
        </is>
      </c>
      <c r="C17" s="5" t="inlineStr">
        <is>
          <t>Confirm offline backups of controller logic and configurations exist. Test one restore.</t>
        </is>
      </c>
      <c r="D17" s="5" t="inlineStr">
        <is>
          <t>Recovery depends on backups you have actually tested.</t>
        </is>
      </c>
      <c r="E17" s="6" t="n"/>
      <c r="F17" s="5" t="n">
        <v>6</v>
      </c>
      <c r="G17" s="6" t="inlineStr">
        <is>
          <t>Not started</t>
        </is>
      </c>
      <c r="H17" s="7" t="n"/>
      <c r="I17" s="6" t="n"/>
    </row>
    <row r="18">
      <c r="A18" s="5" t="n">
        <v>7</v>
      </c>
      <c r="B18" s="5" t="inlineStr">
        <is>
          <t>Practise</t>
        </is>
      </c>
      <c r="C18" s="5" t="inlineStr">
        <is>
          <t>Confirm manual operating procedures exist and are current for critical processes.</t>
        </is>
      </c>
      <c r="D18" s="5" t="inlineStr">
        <is>
          <t>Manual operation is what kept plants running in real incidents.</t>
        </is>
      </c>
      <c r="E18" s="6" t="n"/>
      <c r="F18" s="5" t="n">
        <v>3</v>
      </c>
      <c r="G18" s="6" t="inlineStr">
        <is>
          <t>Not started</t>
        </is>
      </c>
      <c r="H18" s="7" t="n"/>
      <c r="I18" s="6" t="n"/>
    </row>
    <row r="19">
      <c r="A19" s="5" t="n">
        <v>8</v>
      </c>
      <c r="B19" s="5" t="inlineStr">
        <is>
          <t>Map</t>
        </is>
      </c>
      <c r="C19" s="5" t="inlineStr">
        <is>
          <t>Get the dates of the next planned outage and capex cycle. List security work that needs them.</t>
        </is>
      </c>
      <c r="D19" s="5" t="inlineStr">
        <is>
          <t>Many OT fixes can only happen when the unit is down.</t>
        </is>
      </c>
      <c r="E19" s="6" t="n"/>
      <c r="F19" s="5" t="n">
        <v>2</v>
      </c>
      <c r="G19" s="6" t="inlineStr">
        <is>
          <t>Not started</t>
        </is>
      </c>
      <c r="H19" s="7" t="n"/>
      <c r="I19" s="6" t="n"/>
    </row>
    <row r="20">
      <c r="A20" s="5" t="n">
        <v>9</v>
      </c>
      <c r="B20" s="5" t="inlineStr">
        <is>
          <t>Practise</t>
        </is>
      </c>
      <c r="C20" s="5" t="inlineStr">
        <is>
          <t>Run the 60-minute tabletop exercise (05-Tabletop-Exercise).</t>
        </is>
      </c>
      <c r="D20" s="5" t="inlineStr">
        <is>
          <t>Builds the joint team faster than any document.</t>
        </is>
      </c>
      <c r="E20" s="6" t="n"/>
      <c r="F20" s="5" t="n">
        <v>6</v>
      </c>
      <c r="G20" s="6" t="inlineStr">
        <is>
          <t>Not started</t>
        </is>
      </c>
      <c r="H20" s="7" t="n"/>
      <c r="I20" s="6" t="n"/>
    </row>
    <row r="21">
      <c r="A21" s="5" t="n">
        <v>10</v>
      </c>
      <c r="B21" s="5" t="inlineStr">
        <is>
          <t>Practise</t>
        </is>
      </c>
      <c r="C21" s="5" t="inlineStr">
        <is>
          <t>Update incident contacts, decision rights and regulatory reporting deadlines.</t>
        </is>
      </c>
      <c r="D21" s="5" t="inlineStr">
        <is>
          <t>Reporting clocks start when the incident starts.</t>
        </is>
      </c>
      <c r="E21" s="6" t="n"/>
      <c r="F21" s="5" t="n">
        <v>3</v>
      </c>
      <c r="G21" s="6" t="inlineStr">
        <is>
          <t>Not started</t>
        </is>
      </c>
      <c r="H21" s="7" t="n"/>
      <c r="I21" s="6" t="n"/>
    </row>
    <row r="22">
      <c r="A22" s="5" t="n">
        <v>11</v>
      </c>
      <c r="B22" s="5" t="inlineStr">
        <is>
          <t>Map</t>
        </is>
      </c>
      <c r="C22" s="5" t="inlineStr">
        <is>
          <t>Write a one-page business case for the top three gaps (06-Business-Case-One-Pager).</t>
        </is>
      </c>
      <c r="D22" s="5" t="inlineStr">
        <is>
          <t>Turns findings into funded work.</t>
        </is>
      </c>
      <c r="E22" s="6" t="n"/>
      <c r="F22" s="5" t="n">
        <v>4</v>
      </c>
      <c r="G22" s="6" t="inlineStr">
        <is>
          <t>Not started</t>
        </is>
      </c>
      <c r="H22" s="7" t="n"/>
      <c r="I22" s="6" t="n"/>
    </row>
    <row r="23">
      <c r="A23" s="5" t="n">
        <v>12</v>
      </c>
      <c r="B23" s="5" t="inlineStr">
        <is>
          <t>Align</t>
        </is>
      </c>
      <c r="C23" s="5" t="inlineStr">
        <is>
          <t>Report to the sponsor: re-run the self-assessment, crosswalk coverage, top gaps, next 90 days.</t>
        </is>
      </c>
      <c r="D23" s="5" t="inlineStr">
        <is>
          <t>Shows progress in the sponsor's language.</t>
        </is>
      </c>
      <c r="E23" s="6" t="n"/>
      <c r="F23" s="5" t="n">
        <v>3</v>
      </c>
      <c r="G23" s="6" t="inlineStr">
        <is>
          <t>Not started</t>
        </is>
      </c>
      <c r="H23" s="7" t="n"/>
      <c r="I23" s="6" t="n"/>
    </row>
    <row r="24">
      <c r="A24" s="5" t="n">
        <v>13</v>
      </c>
      <c r="B24" s="5" t="inlineStr">
        <is>
          <t>Align</t>
        </is>
      </c>
      <c r="C24" s="5" t="inlineStr">
        <is>
          <t>Plan the next 90 days and choose the next site.</t>
        </is>
      </c>
      <c r="D24" s="5" t="inlineStr">
        <is>
          <t>Keeps momentum and spreads the model.</t>
        </is>
      </c>
      <c r="E24" s="6" t="n"/>
      <c r="F24" s="5" t="n">
        <v>2</v>
      </c>
      <c r="G24" s="6" t="inlineStr">
        <is>
          <t>Not started</t>
        </is>
      </c>
      <c r="H24" s="7" t="n"/>
      <c r="I24" s="6" t="n"/>
    </row>
  </sheetData>
  <conditionalFormatting sqref="G5:G24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dataValidations count="1">
    <dataValidation sqref="G5 G6 G7 G8 G9 G10 G11 G12 G13 G14 G15 G16 G17 G18 G19 G20 G21 G22 G23 G24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3" customWidth="1" min="5" max="5"/>
  </cols>
  <sheetData>
    <row r="1">
      <c r="A1" s="1" t="inlineStr">
        <is>
          <t>Progress</t>
        </is>
      </c>
    </row>
    <row r="2">
      <c r="A2" s="2" t="inlineStr">
        <is>
          <t>Calculated from the Plan sheet</t>
        </is>
      </c>
    </row>
    <row r="4">
      <c r="A4" s="4" t="inlineStr">
        <is>
          <t>Phase</t>
        </is>
      </c>
      <c r="B4" s="4" t="inlineStr">
        <is>
          <t>Actions</t>
        </is>
      </c>
      <c r="C4" s="4" t="inlineStr">
        <is>
          <t>Done</t>
        </is>
      </c>
      <c r="D4" s="4" t="inlineStr">
        <is>
          <t>% done</t>
        </is>
      </c>
      <c r="E4" s="4" t="inlineStr">
        <is>
          <t>Effort (hrs)</t>
        </is>
      </c>
    </row>
    <row r="5">
      <c r="A5" s="8" t="inlineStr">
        <is>
          <t>Align</t>
        </is>
      </c>
      <c r="B5">
        <f>COUNTIF(Plan!$B$5:$B$24,A5)</f>
        <v/>
      </c>
      <c r="C5">
        <f>COUNTIFS(Plan!$B$5:$B$24,A5,Plan!$G$5:$G$24,"Done")</f>
        <v/>
      </c>
      <c r="D5" s="9">
        <f>IF(B5=0,0,C5/B5)</f>
        <v/>
      </c>
      <c r="E5">
        <f>SUMIF(Plan!$B$5:$B$24,A5,Plan!$F$5:$F$24)</f>
        <v/>
      </c>
    </row>
    <row r="6">
      <c r="A6" s="8" t="inlineStr">
        <is>
          <t>Map</t>
        </is>
      </c>
      <c r="B6">
        <f>COUNTIF(Plan!$B$5:$B$24,A6)</f>
        <v/>
      </c>
      <c r="C6">
        <f>COUNTIFS(Plan!$B$5:$B$24,A6,Plan!$G$5:$G$24,"Done")</f>
        <v/>
      </c>
      <c r="D6" s="9">
        <f>IF(B6=0,0,C6/B6)</f>
        <v/>
      </c>
      <c r="E6">
        <f>SUMIF(Plan!$B$5:$B$24,A6,Plan!$F$5:$F$24)</f>
        <v/>
      </c>
    </row>
    <row r="7">
      <c r="A7" s="8" t="inlineStr">
        <is>
          <t>Practise</t>
        </is>
      </c>
      <c r="B7">
        <f>COUNTIF(Plan!$B$5:$B$24,A7)</f>
        <v/>
      </c>
      <c r="C7">
        <f>COUNTIFS(Plan!$B$5:$B$24,A7,Plan!$G$5:$G$24,"Done")</f>
        <v/>
      </c>
      <c r="D7" s="9">
        <f>IF(B7=0,0,C7/B7)</f>
        <v/>
      </c>
      <c r="E7">
        <f>SUMIF(Plan!$B$5:$B$24,A7,Plan!$F$5:$F$24)</f>
        <v/>
      </c>
    </row>
    <row r="8">
      <c r="A8" s="8" t="inlineStr">
        <is>
          <t>Total</t>
        </is>
      </c>
      <c r="B8" s="8">
        <f>SUM(B5:B7)</f>
        <v/>
      </c>
      <c r="C8" s="8">
        <f>SUM(C5:C7)</f>
        <v/>
      </c>
      <c r="D8" s="10">
        <f>IF(B8=0,0,C8/B8)</f>
        <v/>
      </c>
      <c r="E8" s="8">
        <f>SUM(E5:E7)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2026-10-19T04:22:05Z</dcterms:created>
  <dcterms:modified xmlns:dcterms="http://purl.org/dc/terms/" xmlns:xsi="http://www.w3.org/2001/XMLSchema-instance" xsi:type="dcterms:W3CDTF">2026-10-19T04:22:05Z</dcterms:modified>
</cp:coreProperties>
</file>