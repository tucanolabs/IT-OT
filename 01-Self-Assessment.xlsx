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Assessment" sheetId="2" state="visible" r:id="rId2"/>
    <sheet xmlns:r="http://schemas.openxmlformats.org/officeDocument/2006/relationships" name="Resu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2A33"/>
      <sz val="16"/>
    </font>
    <font>
      <name val="Calibri"/>
      <i val="1"/>
      <color rgb="004A5A68"/>
      <sz val="11"/>
    </font>
    <font>
      <name val="Calibri"/>
      <b val="1"/>
      <color rgb="00FFFFFF"/>
      <sz val="11"/>
    </font>
    <font>
      <name val="Calibri"/>
      <b val="1"/>
      <color rgb="001F2A33"/>
    </font>
    <font>
      <b val="1"/>
      <color rgb="00D9731A"/>
      <sz val="20"/>
    </font>
  </fonts>
  <fills count="4">
    <fill>
      <patternFill/>
    </fill>
    <fill>
      <patternFill patternType="gray125"/>
    </fill>
    <fill>
      <patternFill patternType="solid">
        <fgColor rgb="002D6A8C"/>
      </patternFill>
    </fill>
    <fill>
      <patternFill patternType="solid">
        <fgColor rgb="00FFF4E8"/>
      </patternFill>
    </fill>
  </fills>
  <borders count="2">
    <border>
      <left/>
      <right/>
      <top/>
      <bottom/>
      <diagonal/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8EDE2"/>
        </patternFill>
      </fill>
    </dxf>
    <dxf>
      <fill>
        <patternFill patternType="solid">
          <fgColor rgb="00F6DA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15-minute IT/OT maturity self-assessment</t>
        </is>
      </c>
    </row>
    <row r="2">
      <c r="A2" s="2" t="inlineStr">
        <is>
          <t>Part of the IT/OT Monday Kit  |  free to use and adapt</t>
        </is>
      </c>
    </row>
    <row r="4">
      <c r="A4" s="3" t="inlineStr">
        <is>
          <t>1. Get the IT security lead, an OT or engineering lead and, ideally, someone from safety in one room. Answer together.</t>
        </is>
      </c>
    </row>
    <row r="5">
      <c r="A5" s="3" t="inlineStr">
        <is>
          <t>2. On the Assessment sheet, answer Yes or No to each of the 15 statements. Be strict: 'mostly' or 'planned' counts as No.</t>
        </is>
      </c>
    </row>
    <row r="6">
      <c r="A6" s="3" t="inlineStr">
        <is>
          <t>3. The Result sheet shows your level. You reach a level when at least 4 of its 5 statements are Yes and every level below it is also reached.</t>
        </is>
      </c>
    </row>
    <row r="7">
      <c r="A7" s="3" t="inlineStr">
        <is>
          <t>4. Everyone starts at Level 1 (Fragmented). That is normal. The point is to agree on the next step, not to score well.</t>
        </is>
      </c>
    </row>
    <row r="8">
      <c r="A8" s="3" t="inlineStr">
        <is>
          <t>5. Re-run the assessment every 90 days and compare.</t>
        </is>
      </c>
    </row>
    <row r="10">
      <c r="A10" s="2" t="inlineStr">
        <is>
          <t>Shaded cells are for you to fill 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80" customWidth="1" min="3" max="3"/>
    <col width="12" customWidth="1" min="4" max="4"/>
    <col width="45" customWidth="1" min="5" max="5"/>
  </cols>
  <sheetData>
    <row r="1">
      <c r="A1" s="1" t="inlineStr">
        <is>
          <t>Assessment</t>
        </is>
      </c>
    </row>
    <row r="2">
      <c r="A2" s="2" t="inlineStr">
        <is>
          <t>Answer Yes or No for each statement</t>
        </is>
      </c>
    </row>
    <row r="4">
      <c r="A4" s="4" t="inlineStr">
        <is>
          <t>Level</t>
        </is>
      </c>
      <c r="B4" s="4" t="inlineStr">
        <is>
          <t>#</t>
        </is>
      </c>
      <c r="C4" s="4" t="inlineStr">
        <is>
          <t>Statement</t>
        </is>
      </c>
      <c r="D4" s="4" t="inlineStr">
        <is>
          <t>Answer</t>
        </is>
      </c>
      <c r="E4" s="4" t="inlineStr">
        <is>
          <t>Notes</t>
        </is>
      </c>
    </row>
    <row r="5">
      <c r="A5" s="5" t="inlineStr">
        <is>
          <t>Level 2: Aligned</t>
        </is>
      </c>
      <c r="B5" s="6" t="inlineStr">
        <is>
          <t>2.1</t>
        </is>
      </c>
      <c r="C5" s="6" t="inlineStr">
        <is>
          <t>One named executive is accountable for both IT and OT security risk.</t>
        </is>
      </c>
      <c r="D5" s="7" t="n"/>
      <c r="E5" s="7" t="n"/>
    </row>
    <row r="6">
      <c r="A6" s="5" t="inlineStr">
        <is>
          <t>Level 2: Aligned</t>
        </is>
      </c>
      <c r="B6" s="6" t="inlineStr">
        <is>
          <t>2.2</t>
        </is>
      </c>
      <c r="C6" s="6" t="inlineStr">
        <is>
          <t>A written charter defines who owns what between IT, OT/engineering and safety.</t>
        </is>
      </c>
      <c r="D6" s="7" t="n"/>
      <c r="E6" s="7" t="n"/>
    </row>
    <row r="7">
      <c r="A7" s="5" t="inlineStr">
        <is>
          <t>Level 2: Aligned</t>
        </is>
      </c>
      <c r="B7" s="6" t="inlineStr">
        <is>
          <t>2.3</t>
        </is>
      </c>
      <c r="C7" s="6" t="inlineStr">
        <is>
          <t>IT and OT security leads meet on a regular, scheduled cadence.</t>
        </is>
      </c>
      <c r="D7" s="7" t="n"/>
      <c r="E7" s="7" t="n"/>
    </row>
    <row r="8">
      <c r="A8" s="5" t="inlineStr">
        <is>
          <t>Level 2: Aligned</t>
        </is>
      </c>
      <c r="B8" s="6" t="inlineStr">
        <is>
          <t>2.4</t>
        </is>
      </c>
      <c r="C8" s="6" t="inlineStr">
        <is>
          <t>Risk is scored on safety, environmental and production impact, not only data impact.</t>
        </is>
      </c>
      <c r="D8" s="7" t="n"/>
      <c r="E8" s="7" t="n"/>
    </row>
    <row r="9">
      <c r="A9" s="5" t="inlineStr">
        <is>
          <t>Level 2: Aligned</t>
        </is>
      </c>
      <c r="B9" s="6" t="inlineStr">
        <is>
          <t>2.5</t>
        </is>
      </c>
      <c r="C9" s="6" t="inlineStr">
        <is>
          <t>There is one list of OT assets, even if incomplete, that both teams can see.</t>
        </is>
      </c>
      <c r="D9" s="7" t="n"/>
      <c r="E9" s="7" t="n"/>
    </row>
    <row r="10">
      <c r="A10" s="5" t="inlineStr">
        <is>
          <t>Level 3: Integrated</t>
        </is>
      </c>
      <c r="B10" s="6" t="inlineStr">
        <is>
          <t>3.1</t>
        </is>
      </c>
      <c r="C10" s="6" t="inlineStr">
        <is>
          <t>IT and OT work from one shared control set.</t>
        </is>
      </c>
      <c r="D10" s="7" t="n"/>
      <c r="E10" s="7" t="n"/>
    </row>
    <row r="11">
      <c r="A11" s="5" t="inlineStr">
        <is>
          <t>Level 3: Integrated</t>
        </is>
      </c>
      <c r="B11" s="6" t="inlineStr">
        <is>
          <t>3.2</t>
        </is>
      </c>
      <c r="C11" s="6" t="inlineStr">
        <is>
          <t>Each regulation or framework we face is mapped (crosswalked) to that control set.</t>
        </is>
      </c>
      <c r="D11" s="7" t="n"/>
      <c r="E11" s="7" t="n"/>
    </row>
    <row r="12">
      <c r="A12" s="5" t="inlineStr">
        <is>
          <t>Level 3: Integrated</t>
        </is>
      </c>
      <c r="B12" s="6" t="inlineStr">
        <is>
          <t>3.3</t>
        </is>
      </c>
      <c r="C12" s="6" t="inlineStr">
        <is>
          <t>OT security work is included in capital plans and planned outage scopes.</t>
        </is>
      </c>
      <c r="D12" s="7" t="n"/>
      <c r="E12" s="7" t="n"/>
    </row>
    <row r="13">
      <c r="A13" s="5" t="inlineStr">
        <is>
          <t>Level 3: Integrated</t>
        </is>
      </c>
      <c r="B13" s="6" t="inlineStr">
        <is>
          <t>3.4</t>
        </is>
      </c>
      <c r="C13" s="6" t="inlineStr">
        <is>
          <t>Our incident response plan includes operations, engineering and safety roles.</t>
        </is>
      </c>
      <c r="D13" s="7" t="n"/>
      <c r="E13" s="7" t="n"/>
    </row>
    <row r="14">
      <c r="A14" s="5" t="inlineStr">
        <is>
          <t>Level 3: Integrated</t>
        </is>
      </c>
      <c r="B14" s="6" t="inlineStr">
        <is>
          <t>3.5</t>
        </is>
      </c>
      <c r="C14" s="6" t="inlineStr">
        <is>
          <t>A new mandate starts with a gap check against existing controls, not a new program.</t>
        </is>
      </c>
      <c r="D14" s="7" t="n"/>
      <c r="E14" s="7" t="n"/>
    </row>
    <row r="15">
      <c r="A15" s="5" t="inlineStr">
        <is>
          <t>Level 4: Resilient</t>
        </is>
      </c>
      <c r="B15" s="6" t="inlineStr">
        <is>
          <t>4.1</t>
        </is>
      </c>
      <c r="C15" s="6" t="inlineStr">
        <is>
          <t>IT and OT report shared security metrics to leadership.</t>
        </is>
      </c>
      <c r="D15" s="7" t="n"/>
      <c r="E15" s="7" t="n"/>
    </row>
    <row r="16">
      <c r="A16" s="5" t="inlineStr">
        <is>
          <t>Level 4: Resilient</t>
        </is>
      </c>
      <c r="B16" s="6" t="inlineStr">
        <is>
          <t>4.2</t>
        </is>
      </c>
      <c r="C16" s="6" t="inlineStr">
        <is>
          <t>We run joint IT/OT/safety exercises at least once a year.</t>
        </is>
      </c>
      <c r="D16" s="7" t="n"/>
      <c r="E16" s="7" t="n"/>
    </row>
    <row r="17">
      <c r="A17" s="5" t="inlineStr">
        <is>
          <t>Level 4: Resilient</t>
        </is>
      </c>
      <c r="B17" s="6" t="inlineStr">
        <is>
          <t>4.3</t>
        </is>
      </c>
      <c r="C17" s="6" t="inlineStr">
        <is>
          <t>Operators have practised running critical processes manually while IT is unavailable.</t>
        </is>
      </c>
      <c r="D17" s="7" t="n"/>
      <c r="E17" s="7" t="n"/>
    </row>
    <row r="18">
      <c r="A18" s="5" t="inlineStr">
        <is>
          <t>Level 4: Resilient</t>
        </is>
      </c>
      <c r="B18" s="6" t="inlineStr">
        <is>
          <t>4.4</t>
        </is>
      </c>
      <c r="C18" s="6" t="inlineStr">
        <is>
          <t>Compliance evidence is collected continuously, not only before audits.</t>
        </is>
      </c>
      <c r="D18" s="7" t="n"/>
      <c r="E18" s="7" t="n"/>
    </row>
    <row r="19">
      <c r="A19" s="5" t="inlineStr">
        <is>
          <t>Level 4: Resilient</t>
        </is>
      </c>
      <c r="B19" s="6" t="inlineStr">
        <is>
          <t>4.5</t>
        </is>
      </c>
      <c r="C19" s="6" t="inlineStr">
        <is>
          <t>The crosswalk and exercises are reviewed and refreshed every year.</t>
        </is>
      </c>
      <c r="D19" s="7" t="n"/>
      <c r="E19" s="7" t="n"/>
    </row>
  </sheetData>
  <conditionalFormatting sqref="D5:D19">
    <cfRule type="cellIs" priority="1" operator="equal" dxfId="0">
      <formula>"Yes"</formula>
    </cfRule>
    <cfRule type="cellIs" priority="2" operator="equal" dxfId="1">
      <formula>"No"</formula>
    </cfRule>
  </conditionalFormatting>
  <dataValidations count="1">
    <dataValidation sqref="D5 D6 D7 D8 D9 D10 D11 D12 D13 D14 D15 D16 D17 D18 D1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30" customWidth="1" min="4" max="4"/>
    <col width="30" customWidth="1" min="5" max="5"/>
  </cols>
  <sheetData>
    <row r="1">
      <c r="A1" s="1" t="inlineStr">
        <is>
          <t>Result</t>
        </is>
      </c>
    </row>
    <row r="2">
      <c r="A2" s="2" t="inlineStr">
        <is>
          <t>Calculated from the Assessment sheet</t>
        </is>
      </c>
    </row>
    <row r="4">
      <c r="A4" s="4" t="inlineStr">
        <is>
          <t>Level</t>
        </is>
      </c>
      <c r="B4" s="4" t="inlineStr">
        <is>
          <t>Yes answers (of 5)</t>
        </is>
      </c>
      <c r="C4" s="4" t="inlineStr">
        <is>
          <t>Reached?</t>
        </is>
      </c>
    </row>
    <row r="5">
      <c r="A5" s="8" t="inlineStr">
        <is>
          <t>Level 2: Aligned</t>
        </is>
      </c>
      <c r="B5">
        <f>COUNTIF(Assessment!D5:D9,"Yes")</f>
        <v/>
      </c>
      <c r="C5">
        <f>IF(B5&gt;=4,"Yes","No")</f>
        <v/>
      </c>
    </row>
    <row r="6">
      <c r="A6" s="8" t="inlineStr">
        <is>
          <t>Level 3: Integrated</t>
        </is>
      </c>
      <c r="B6">
        <f>COUNTIF(Assessment!D10:D14,"Yes")</f>
        <v/>
      </c>
      <c r="C6">
        <f>IF(B6&gt;=4,"Yes","No")</f>
        <v/>
      </c>
    </row>
    <row r="7">
      <c r="A7" s="8" t="inlineStr">
        <is>
          <t>Level 4: Resilient</t>
        </is>
      </c>
      <c r="B7">
        <f>COUNTIF(Assessment!D15:D19,"Yes")</f>
        <v/>
      </c>
      <c r="C7">
        <f>IF(B7&gt;=4,"Yes","No")</f>
        <v/>
      </c>
    </row>
    <row r="9">
      <c r="A9" s="8" t="inlineStr">
        <is>
          <t>Your level</t>
        </is>
      </c>
      <c r="B9" s="9">
        <f>IF(C5&lt;&gt;"Yes",1,IF(C6&lt;&gt;"Yes",2,IF(C7&lt;&gt;"Yes",3,4)))</f>
        <v/>
      </c>
    </row>
    <row r="11">
      <c r="A11" s="8" t="inlineStr">
        <is>
          <t>What it means and what to do next</t>
        </is>
      </c>
    </row>
    <row r="12">
      <c r="A12" s="3">
        <f>CHOOSE(B9,"Fragmented. Next: name one accountable executive and agree a joint IT/OT charter (see 04-IT-OT-Charter-Template).","Aligned. Next: build one control set and crosswalk every mandate to it (see 02-Control-Crosswalk).","Integrated. Next: measure jointly and rehearse together (see 05-Tabletop-Exercise).","Resilient. Next: keep it there. Refresh the crosswalk and exercises every year.")</f>
        <v/>
      </c>
    </row>
    <row r="13"/>
    <row r="14"/>
  </sheetData>
  <mergeCells count="1">
    <mergeCell ref="A12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2026-10-19T04:22:05Z</dcterms:created>
  <dcterms:modified xmlns:dcterms="http://purl.org/dc/terms/" xmlns:xsi="http://www.w3.org/2001/XMLSchema-instance" xsi:type="dcterms:W3CDTF">2026-10-19T04:22:05Z</dcterms:modified>
</cp:coreProperties>
</file>